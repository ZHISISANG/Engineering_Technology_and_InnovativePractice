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  <sheet xmlns:r="http://schemas.openxmlformats.org/officeDocument/2006/relationships" name="工作分解" sheetId="2" state="visible" r:id="rId2"/>
    <sheet xmlns:r="http://schemas.openxmlformats.org/officeDocument/2006/relationships" name="假设与风险" sheetId="3" state="visible" r:id="rId3"/>
  </sheets>
  <definedNames>
    <definedName name="_xlnm.Print_Area" localSheetId="0">'报价单'!$A$1:$G$34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14">
    <font>
      <name val="Calibri"/>
      <family val="2"/>
      <color theme="1"/>
      <sz val="11"/>
      <scheme val="minor"/>
    </font>
    <font>
      <name val="微软雅黑"/>
      <b val="1"/>
      <color rgb="001F3864"/>
      <sz val="18"/>
    </font>
    <font>
      <name val="微软雅黑"/>
      <color rgb="00595959"/>
      <sz val="10"/>
    </font>
    <font>
      <name val="微软雅黑"/>
      <b val="1"/>
      <color rgb="001F3864"/>
      <sz val="9"/>
    </font>
    <font>
      <name val="宋体"/>
      <sz val="9"/>
    </font>
    <font>
      <name val="宋体"/>
      <b val="1"/>
      <sz val="9"/>
    </font>
    <font>
      <name val="微软雅黑"/>
      <b val="1"/>
      <sz val="9"/>
    </font>
    <font>
      <name val="微软雅黑"/>
      <b val="1"/>
      <color rgb="001F3864"/>
      <sz val="11"/>
    </font>
    <font>
      <name val="微软雅黑"/>
      <b val="1"/>
      <color rgb="001F3864"/>
      <sz val="10"/>
    </font>
    <font>
      <name val="微软雅黑"/>
      <color rgb="00000000"/>
      <sz val="9"/>
    </font>
    <font>
      <name val="微软雅黑"/>
      <color rgb="00333333"/>
      <sz val="8.800000000000001"/>
    </font>
    <font>
      <name val="微软雅黑"/>
      <color rgb="00595959"/>
      <sz val="8.5"/>
    </font>
    <font>
      <name val="微软雅黑"/>
      <b val="1"/>
      <color rgb="001F3864"/>
      <sz val="14"/>
    </font>
    <font>
      <name val="宋体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4F7FB"/>
      </patternFill>
    </fill>
    <fill>
      <patternFill patternType="solid">
        <fgColor rgb="00EEF3FA"/>
      </patternFill>
    </fill>
    <fill>
      <patternFill patternType="solid">
        <fgColor rgb="00F7F9FC"/>
      </patternFill>
    </fill>
    <fill>
      <patternFill patternType="solid">
        <fgColor rgb="00FDF2F2"/>
      </patternFill>
    </fill>
    <fill>
      <patternFill patternType="solid">
        <fgColor rgb="00FEF9EC"/>
      </patternFill>
    </fill>
  </fills>
  <borders count="2">
    <border>
      <left/>
      <right/>
      <top/>
      <bottom/>
      <diagonal/>
    </border>
    <border>
      <left style="thin">
        <color rgb="00C9D3E3"/>
      </left>
      <right style="thin">
        <color rgb="00C9D3E3"/>
      </right>
      <top style="thin">
        <color rgb="00C9D3E3"/>
      </top>
      <bottom style="thin">
        <color rgb="00C9D3E3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164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0" fontId="0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5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12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13" fillId="0" borderId="0" applyAlignment="1" pivotButton="0" quotePrefix="0" xfId="0">
      <alignment vertical="top" wrapText="1"/>
    </xf>
    <xf numFmtId="0" fontId="12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showGridLines="0" workbookViewId="0">
      <selection activeCell="A1" sqref="A1"/>
    </sheetView>
  </sheetViews>
  <sheetFormatPr baseColWidth="8" defaultRowHeight="15"/>
  <cols>
    <col width="5.5" customWidth="1" min="1" max="1"/>
    <col width="22" customWidth="1" min="2" max="2"/>
    <col width="46" customWidth="1" min="3" max="3"/>
    <col width="8" customWidth="1" min="4" max="4"/>
    <col width="8" customWidth="1" min="5" max="5"/>
    <col width="13" customWidth="1" min="6" max="6"/>
    <col width="15" customWidth="1" min="7" max="7"/>
  </cols>
  <sheetData>
    <row r="1" ht="34" customHeight="1">
      <c r="A1" s="1" t="inlineStr">
        <is>
          <t>展商咨询工单版本追溯试点 · 项目报价单</t>
        </is>
      </c>
    </row>
    <row r="2" ht="20" customHeight="1">
      <c r="A2" s="2" t="inlineStr">
        <is>
          <t>v1 设计方案 · 单批次只读试点（合成样本案例）</t>
        </is>
      </c>
    </row>
    <row r="4" ht="19" customHeight="1">
      <c r="A4" s="3" t="inlineStr">
        <is>
          <t>报价编号</t>
        </is>
      </c>
      <c r="C4" s="4" t="inlineStr">
        <is>
          <t>QT-2026-1023-01</t>
        </is>
      </c>
      <c r="E4" s="5" t="inlineStr">
        <is>
          <t>报价日期</t>
        </is>
      </c>
      <c r="F4" s="4" t="inlineStr">
        <is>
          <t>2026-10-23</t>
        </is>
      </c>
    </row>
    <row r="5" ht="19" customHeight="1">
      <c r="A5" s="3" t="inlineStr">
        <is>
          <t>报价方</t>
        </is>
      </c>
      <c r="C5" s="4" t="inlineStr">
        <is>
          <t>（示例）数字化服务组</t>
        </is>
      </c>
      <c r="E5" s="5" t="inlineStr">
        <is>
          <t>有效期</t>
        </is>
      </c>
      <c r="F5" s="4" t="inlineStr">
        <is>
          <t>自报价日起 30 天</t>
        </is>
      </c>
    </row>
    <row r="6" ht="19" customHeight="1">
      <c r="A6" s="3" t="inlineStr">
        <is>
          <t>委托方</t>
        </is>
      </c>
      <c r="C6" s="4" t="inlineStr">
        <is>
          <t>上海外经贸商务展览有限公司（案例设定）</t>
        </is>
      </c>
      <c r="E6" s="5" t="inlineStr">
        <is>
          <t>币种</t>
        </is>
      </c>
      <c r="F6" s="4" t="inlineStr">
        <is>
          <t>人民币（CNY）</t>
        </is>
      </c>
    </row>
    <row r="7" ht="19" customHeight="1">
      <c r="A7" s="3" t="inlineStr">
        <is>
          <t>项目周期</t>
        </is>
      </c>
      <c r="C7" s="4" t="inlineStr">
        <is>
          <t>4 周（含 1 周缓冲）</t>
        </is>
      </c>
      <c r="E7" s="5" t="inlineStr">
        <is>
          <t>交付形态</t>
        </is>
      </c>
      <c r="F7" s="4" t="inlineStr">
        <is>
          <t>单机 CLI + 运行目录 + 文档</t>
        </is>
      </c>
    </row>
    <row r="9" ht="30" customHeight="1">
      <c r="A9" s="6" t="inlineStr">
        <is>
          <t>序号</t>
        </is>
      </c>
      <c r="B9" s="6" t="inlineStr">
        <is>
          <t>交付物</t>
        </is>
      </c>
      <c r="C9" s="6" t="inlineStr">
        <is>
          <t>工作内容与验收要点</t>
        </is>
      </c>
      <c r="D9" s="6" t="inlineStr">
        <is>
          <t>人天</t>
        </is>
      </c>
      <c r="E9" s="6" t="inlineStr">
        <is>
          <t>单价（元/人天）</t>
        </is>
      </c>
      <c r="F9" s="6" t="inlineStr">
        <is>
          <t>小计（元）</t>
        </is>
      </c>
      <c r="G9" s="6" t="inlineStr">
        <is>
          <t>备注</t>
        </is>
      </c>
    </row>
    <row r="10" ht="38" customHeight="1">
      <c r="A10" s="7" t="n">
        <v>1</v>
      </c>
      <c r="B10" s="8" t="inlineStr">
        <is>
          <t>业务挖掘与需求基线</t>
        </is>
      </c>
      <c r="C10" s="9" t="inlineStr">
        <is>
          <t>62 条记录、36 条事实结构化；六角色权责；断点→REQ 映射；《业务挖掘报告》</t>
        </is>
      </c>
      <c r="D10" s="7" t="n">
        <v>5</v>
      </c>
      <c r="E10" s="10" t="n">
        <v>1600</v>
      </c>
      <c r="F10" s="10">
        <f>D10*E10</f>
        <v/>
      </c>
      <c r="G10" s="9" t="inlineStr">
        <is>
          <t>含 2 次访谈复盘</t>
        </is>
      </c>
    </row>
    <row r="11" ht="38" customHeight="1">
      <c r="A11" s="11" t="n">
        <v>2</v>
      </c>
      <c r="B11" s="12" t="inlineStr">
        <is>
          <t>版本治理规则与字段标准</t>
        </is>
      </c>
      <c r="C11" s="13" t="inlineStr">
        <is>
          <t>有效期/确认/作废/版本链规则；12 个关键字段；四态定义；判定排序键</t>
        </is>
      </c>
      <c r="D11" s="11" t="n">
        <v>4</v>
      </c>
      <c r="E11" s="14" t="n">
        <v>1800</v>
      </c>
      <c r="F11" s="14">
        <f>D11*E11</f>
        <v/>
      </c>
      <c r="G11" s="13" t="inlineStr">
        <is>
          <t>需流程协调员参与</t>
        </is>
      </c>
    </row>
    <row r="12" ht="38" customHeight="1">
      <c r="A12" s="7" t="n">
        <v>3</v>
      </c>
      <c r="B12" s="8" t="inlineStr">
        <is>
          <t>只读追溯工具（expo-trace）</t>
        </is>
      </c>
      <c r="C12" s="9" t="inlineStr">
        <is>
          <t>受理/分类/版本判定/草稿/人工队列/审计链/三项指标；103 项自动化测试</t>
        </is>
      </c>
      <c r="D12" s="7" t="n">
        <v>12</v>
      </c>
      <c r="E12" s="10" t="n">
        <v>1900</v>
      </c>
      <c r="F12" s="10">
        <f>D12*E12</f>
        <v/>
      </c>
      <c r="G12" s="9" t="inlineStr">
        <is>
          <t>零第三方运行时依赖</t>
        </is>
      </c>
    </row>
    <row r="13" ht="38" customHeight="1">
      <c r="A13" s="11" t="n">
        <v>4</v>
      </c>
      <c r="B13" s="12" t="inlineStr">
        <is>
          <t>流程图与方案文档</t>
        </is>
      </c>
      <c r="C13" s="13" t="inlineStr">
        <is>
          <t>现状图、转型后图、总体架构图；业务挖掘/行业分析/设计/流程图说明</t>
        </is>
      </c>
      <c r="D13" s="11" t="n">
        <v>3</v>
      </c>
      <c r="E13" s="14" t="n">
        <v>1600</v>
      </c>
      <c r="F13" s="14">
        <f>D13*E13</f>
        <v/>
      </c>
      <c r="G13" s="13" t="inlineStr">
        <is>
          <t>PNG 1700px 宽，可编辑源码</t>
        </is>
      </c>
    </row>
    <row r="14" ht="38" customHeight="1">
      <c r="A14" s="7" t="n">
        <v>5</v>
      </c>
      <c r="B14" s="8" t="inlineStr">
        <is>
          <t>试点陪跑（4 周）</t>
        </is>
      </c>
      <c r="C14" s="9" t="inlineStr">
        <is>
          <t>每周 1 次例会；队列清理与规则校准；不含日常代运营</t>
        </is>
      </c>
      <c r="D14" s="7" t="n">
        <v>4</v>
      </c>
      <c r="E14" s="10" t="n">
        <v>1500</v>
      </c>
      <c r="F14" s="10">
        <f>D14*E14</f>
        <v/>
      </c>
      <c r="G14" s="9" t="inlineStr">
        <is>
          <t>2 名业务骨干 × 每周 ≤4h</t>
        </is>
      </c>
    </row>
    <row r="15" ht="38" customHeight="1">
      <c r="A15" s="11" t="n">
        <v>6</v>
      </c>
      <c r="B15" s="12" t="inlineStr">
        <is>
          <t>培训与验收支持</t>
        </is>
      </c>
      <c r="C15" s="13" t="inlineStr">
        <is>
          <t>2 场培训（一线/审核）；80 条抽查计划与复盘模板；验收材料</t>
        </is>
      </c>
      <c r="D15" s="11" t="n">
        <v>2</v>
      </c>
      <c r="E15" s="14" t="n">
        <v>1500</v>
      </c>
      <c r="F15" s="14">
        <f>D15*E15</f>
        <v/>
      </c>
      <c r="G15" s="13" t="inlineStr">
        <is>
          <t>验收以业务方签字为准</t>
        </is>
      </c>
    </row>
    <row r="16" ht="30" customHeight="1">
      <c r="A16" s="7" t="n">
        <v>7</v>
      </c>
      <c r="B16" s="8" t="inlineStr">
        <is>
          <t>项目管理与汇报</t>
        </is>
      </c>
      <c r="C16" s="9" t="inlineStr">
        <is>
          <t>周报、风险登记、变更控制、验收组织（按交付物小计的 8%）</t>
        </is>
      </c>
      <c r="D16" s="7">
        <f>ROUND(SUM(F10:F15)*0.08/1600,1)</f>
        <v/>
      </c>
      <c r="E16" s="10" t="n">
        <v>1600</v>
      </c>
      <c r="F16" s="10">
        <f>ROUND(SUM(F10:F15)*0.08,0)</f>
        <v/>
      </c>
      <c r="G16" s="9" t="inlineStr">
        <is>
          <t>不足 0.5 人天按 0.5 计</t>
        </is>
      </c>
    </row>
    <row r="17">
      <c r="A17" s="15" t="inlineStr">
        <is>
          <t>小计（含项目管理）</t>
        </is>
      </c>
      <c r="B17" s="16" t="n"/>
      <c r="C17" s="16" t="n"/>
      <c r="D17" s="16" t="n"/>
      <c r="E17" s="16" t="n"/>
      <c r="F17" s="17">
        <f>SUM(F10:F16)</f>
        <v/>
      </c>
      <c r="G17" s="16" t="n"/>
    </row>
    <row r="18">
      <c r="A18" s="18" t="inlineStr">
        <is>
          <t>增值税（6%，按现代服务）</t>
        </is>
      </c>
      <c r="B18" s="16" t="n"/>
      <c r="C18" s="16" t="n"/>
      <c r="D18" s="16" t="n"/>
      <c r="E18" s="16" t="n"/>
      <c r="F18" s="19">
        <f>ROUND(F17*0.06,0)</f>
        <v/>
      </c>
      <c r="G18" s="16" t="n"/>
    </row>
    <row r="19" ht="26" customHeight="1">
      <c r="A19" s="20" t="inlineStr">
        <is>
          <t>合计（含税）</t>
        </is>
      </c>
      <c r="B19" s="21" t="n"/>
      <c r="C19" s="21" t="n"/>
      <c r="D19" s="21" t="n"/>
      <c r="E19" s="21" t="n"/>
      <c r="F19" s="22">
        <f>F17+F18</f>
        <v/>
      </c>
      <c r="G19" s="21" t="n"/>
    </row>
    <row r="21">
      <c r="A21" s="23" t="inlineStr">
        <is>
          <t>付款方式</t>
        </is>
      </c>
    </row>
    <row r="22">
      <c r="A22" s="24" t="inlineStr">
        <is>
          <t>40% 启动款（合同签订后 5 个工作日内）｜40% 中期款（试点第 3 周，工具上线并完成首次运行）｜20% 验收款（业务方签署验收单后 10 个工作日内）</t>
        </is>
      </c>
    </row>
    <row r="24">
      <c r="A24" s="23" t="inlineStr">
        <is>
          <t>报价假设与不含项</t>
        </is>
      </c>
    </row>
    <row r="25">
      <c r="A25" s="25" t="inlineStr">
        <is>
          <t>1. 范围：仅覆盖一个展会批次（2026-S1）、仅只读与草稿，不含写回源系统、不含对外自动发送。</t>
        </is>
      </c>
    </row>
    <row r="26">
      <c r="A26" s="25" t="inlineStr">
        <is>
          <t>2. 数据：由委托方提供脱敏只读导出（服务台/台账/文件库/交接记录）；未提供期间的等待不计入工期。</t>
        </is>
      </c>
    </row>
    <row r="27">
      <c r="A27" s="25" t="inlineStr">
        <is>
          <t>3. 人员：委托方需指定 2 名业务骨干，合计每周投入不超过 4 小时；超出部分按变更单计。</t>
        </is>
      </c>
    </row>
    <row r="28">
      <c r="A28" s="25" t="inlineStr">
        <is>
          <t>4. 不含：差旅、第三方接口/模型调用费、服务器与存储、历史数据清洗、正式等保测评。</t>
        </is>
      </c>
    </row>
    <row r="29">
      <c r="A29" s="25" t="inlineStr">
        <is>
          <t>5. 模型：v1 默认不依赖外部大模型；如需接入，须另行完成数据出境与供应商安全评估。</t>
        </is>
      </c>
    </row>
    <row r="30">
      <c r="A30" s="25" t="inlineStr">
        <is>
          <t>6. 验收：以《试点验收清单》为准；80 条抽查由业务方执行，工具方提供计划与统计支持。</t>
        </is>
      </c>
    </row>
    <row r="31">
      <c r="A31" s="25" t="inlineStr">
        <is>
          <t>7. 变更：范围或工期变更按 1,600 元/人天计，单次超过 3 人天需重新评审。</t>
        </is>
      </c>
    </row>
    <row r="32">
      <c r="A32" s="25" t="inlineStr">
        <is>
          <t>8. 知识产权：交付代码与文档归委托方使用；通用组件与既有方法不转移所有权。</t>
        </is>
      </c>
    </row>
    <row r="34">
      <c r="A34" s="26" t="inlineStr">
        <is>
          <t>说明：本报价为方案示例，人物、公司与金额均为演示用途；实际报价以双方确认的 SOW 为准。</t>
        </is>
      </c>
      <c r="B34" s="27" t="n"/>
      <c r="C34" s="27" t="n"/>
      <c r="D34" s="27" t="n"/>
      <c r="E34" s="27" t="n"/>
      <c r="F34" s="27" t="n"/>
      <c r="G34" s="27" t="n"/>
    </row>
  </sheetData>
  <mergeCells count="29">
    <mergeCell ref="A32:G32"/>
    <mergeCell ref="F4:G4"/>
    <mergeCell ref="C6:D6"/>
    <mergeCell ref="A22:G22"/>
    <mergeCell ref="C5:D5"/>
    <mergeCell ref="F6:G6"/>
    <mergeCell ref="A29:G29"/>
    <mergeCell ref="A6:B6"/>
    <mergeCell ref="F7:G7"/>
    <mergeCell ref="C4:D4"/>
    <mergeCell ref="A28:G28"/>
    <mergeCell ref="A7:B7"/>
    <mergeCell ref="A31:G31"/>
    <mergeCell ref="F5:G5"/>
    <mergeCell ref="A34:G34"/>
    <mergeCell ref="A24:G24"/>
    <mergeCell ref="A30:G30"/>
    <mergeCell ref="A18:E18"/>
    <mergeCell ref="A1:G1"/>
    <mergeCell ref="A5:B5"/>
    <mergeCell ref="A25:G25"/>
    <mergeCell ref="A17:E17"/>
    <mergeCell ref="A4:B4"/>
    <mergeCell ref="C7:D7"/>
    <mergeCell ref="A27:G27"/>
    <mergeCell ref="A21:G21"/>
    <mergeCell ref="A19:E19"/>
    <mergeCell ref="A26:G26"/>
    <mergeCell ref="A2:G2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40" customWidth="1" min="3" max="3"/>
    <col width="10" customWidth="1" min="4" max="4"/>
    <col width="12" customWidth="1" min="5" max="5"/>
    <col width="26" customWidth="1" min="6" max="6"/>
  </cols>
  <sheetData>
    <row r="1" ht="28" customHeight="1">
      <c r="A1" s="28" t="inlineStr">
        <is>
          <t>工作分解（WBS）与人天核算</t>
        </is>
      </c>
    </row>
    <row r="3" ht="26" customHeight="1">
      <c r="A3" s="6" t="inlineStr">
        <is>
          <t>阶段</t>
        </is>
      </c>
      <c r="B3" s="6" t="inlineStr">
        <is>
          <t>工作包</t>
        </is>
      </c>
      <c r="C3" s="6" t="inlineStr">
        <is>
          <t>主要产出</t>
        </is>
      </c>
      <c r="D3" s="6" t="inlineStr">
        <is>
          <t>人天</t>
        </is>
      </c>
      <c r="E3" s="6" t="inlineStr">
        <is>
          <t>对应交付物</t>
        </is>
      </c>
      <c r="F3" s="6" t="inlineStr">
        <is>
          <t>责任角色</t>
        </is>
      </c>
    </row>
    <row r="4" ht="32" customHeight="1">
      <c r="A4" s="7" t="inlineStr">
        <is>
          <t>W0</t>
        </is>
      </c>
      <c r="B4" s="8" t="inlineStr">
        <is>
          <t>启动与授权</t>
        </is>
      </c>
      <c r="C4" s="9" t="inlineStr">
        <is>
          <t>数据范围、授权批次、联系人、验收口径确认</t>
        </is>
      </c>
      <c r="D4" s="7" t="n">
        <v>1</v>
      </c>
      <c r="E4" s="9" t="inlineStr">
        <is>
          <t>项目启动纪要</t>
        </is>
      </c>
      <c r="F4" s="9" t="inlineStr">
        <is>
          <t>业务负责人</t>
        </is>
      </c>
    </row>
    <row r="5" ht="32" customHeight="1">
      <c r="A5" s="11" t="inlineStr">
        <is>
          <t>W1</t>
        </is>
      </c>
      <c r="B5" s="12" t="inlineStr">
        <is>
          <t>业务挖掘</t>
        </is>
      </c>
      <c r="C5" s="13" t="inlineStr">
        <is>
          <t>62 条记录结构化、六角色、断点与 REQ 映射</t>
        </is>
      </c>
      <c r="D5" s="11" t="n">
        <v>2</v>
      </c>
      <c r="E5" s="13" t="inlineStr">
        <is>
          <t>01-业务挖掘报告</t>
        </is>
      </c>
      <c r="F5" s="13" t="inlineStr">
        <is>
          <t>分析/流程协调</t>
        </is>
      </c>
    </row>
    <row r="6" ht="32" customHeight="1">
      <c r="A6" s="7" t="inlineStr">
        <is>
          <t>W1</t>
        </is>
      </c>
      <c r="B6" s="8" t="inlineStr">
        <is>
          <t>版本治理规则</t>
        </is>
      </c>
      <c r="C6" s="9" t="inlineStr">
        <is>
          <t>有效期+确认+作废+版本链规则、排序键、字段四态</t>
        </is>
      </c>
      <c r="D6" s="7" t="n">
        <v>2.5</v>
      </c>
      <c r="E6" s="9" t="inlineStr">
        <is>
          <t>05-设计方案 §6</t>
        </is>
      </c>
      <c r="F6" s="9" t="inlineStr">
        <is>
          <t>流程协调/数字化</t>
        </is>
      </c>
    </row>
    <row r="7" ht="32" customHeight="1">
      <c r="A7" s="11" t="inlineStr">
        <is>
          <t>W1</t>
        </is>
      </c>
      <c r="B7" s="12" t="inlineStr">
        <is>
          <t>字段与编号标准</t>
        </is>
      </c>
      <c r="C7" s="13" t="inlineStr">
        <is>
          <t>12 个关键字段、统一关联编号、缺失/未确认区分</t>
        </is>
      </c>
      <c r="D7" s="11" t="n">
        <v>1.5</v>
      </c>
      <c r="E7" s="13" t="inlineStr">
        <is>
          <t>05-设计方案 §6.2</t>
        </is>
      </c>
      <c r="F7" s="13" t="inlineStr">
        <is>
          <t>数字化</t>
        </is>
      </c>
    </row>
    <row r="8" ht="32" customHeight="1">
      <c r="A8" s="7" t="inlineStr">
        <is>
          <t>W2</t>
        </is>
      </c>
      <c r="B8" s="8" t="inlineStr">
        <is>
          <t>工具核心</t>
        </is>
      </c>
      <c r="C8" s="9" t="inlineStr">
        <is>
          <t>受理、分类、版本判定、草稿、队列</t>
        </is>
      </c>
      <c r="D8" s="7" t="n">
        <v>7</v>
      </c>
      <c r="E8" s="9" t="inlineStr">
        <is>
          <t>src/expo_trace/core</t>
        </is>
      </c>
      <c r="F8" s="9" t="inlineStr">
        <is>
          <t>开发</t>
        </is>
      </c>
    </row>
    <row r="9" ht="32" customHeight="1">
      <c r="A9" s="11" t="inlineStr">
        <is>
          <t>W2</t>
        </is>
      </c>
      <c r="B9" s="12" t="inlineStr">
        <is>
          <t>审计与指标</t>
        </is>
      </c>
      <c r="C9" s="13" t="inlineStr">
        <is>
          <t>哈希链、三项指标、周报与抽查计划</t>
        </is>
      </c>
      <c r="D9" s="11" t="n">
        <v>3</v>
      </c>
      <c r="E9" s="13" t="inlineStr">
        <is>
          <t>src/expo_trace/core/audit.py</t>
        </is>
      </c>
      <c r="F9" s="13" t="inlineStr">
        <is>
          <t>开发</t>
        </is>
      </c>
    </row>
    <row r="10" ht="32" customHeight="1">
      <c r="A10" s="7" t="inlineStr">
        <is>
          <t>W2</t>
        </is>
      </c>
      <c r="B10" s="8" t="inlineStr">
        <is>
          <t>测试与演示数据</t>
        </is>
      </c>
      <c r="C10" s="9" t="inlineStr">
        <is>
          <t>16 单 12 版本 12 个坑；103 项测试</t>
        </is>
      </c>
      <c r="D10" s="7" t="n">
        <v>2</v>
      </c>
      <c r="E10" s="9" t="inlineStr">
        <is>
          <t>tests/、data/demo</t>
        </is>
      </c>
      <c r="F10" s="9" t="inlineStr">
        <is>
          <t>开发/测试</t>
        </is>
      </c>
    </row>
    <row r="11" ht="32" customHeight="1">
      <c r="A11" s="11" t="inlineStr">
        <is>
          <t>W3</t>
        </is>
      </c>
      <c r="B11" s="12" t="inlineStr">
        <is>
          <t>流程图与文档</t>
        </is>
      </c>
      <c r="C11" s="13" t="inlineStr">
        <is>
          <t>现状/转型后/架构三图；四份文档</t>
        </is>
      </c>
      <c r="D11" s="11" t="n">
        <v>3</v>
      </c>
      <c r="E11" s="13" t="inlineStr">
        <is>
          <t>02/03/05 文档</t>
        </is>
      </c>
      <c r="F11" s="13" t="inlineStr">
        <is>
          <t>分析/设计</t>
        </is>
      </c>
    </row>
    <row r="12" ht="32" customHeight="1">
      <c r="A12" s="7" t="inlineStr">
        <is>
          <t>W3</t>
        </is>
      </c>
      <c r="B12" s="8" t="inlineStr">
        <is>
          <t>试点陪跑</t>
        </is>
      </c>
      <c r="C12" s="9" t="inlineStr">
        <is>
          <t>周会、队列清理、规则校准、误报漏报登记</t>
        </is>
      </c>
      <c r="D12" s="7" t="n">
        <v>4</v>
      </c>
      <c r="E12" s="9" t="inlineStr">
        <is>
          <t>周报、队列 CSV</t>
        </is>
      </c>
      <c r="F12" s="9" t="inlineStr">
        <is>
          <t>顾问/业务</t>
        </is>
      </c>
    </row>
    <row r="13" ht="32" customHeight="1">
      <c r="A13" s="11" t="inlineStr">
        <is>
          <t>W4</t>
        </is>
      </c>
      <c r="B13" s="12" t="inlineStr">
        <is>
          <t>培训与验收</t>
        </is>
      </c>
      <c r="C13" s="13" t="inlineStr">
        <is>
          <t>2 场培训、80 条抽查支持、验收材料</t>
        </is>
      </c>
      <c r="D13" s="11" t="n">
        <v>2</v>
      </c>
      <c r="E13" s="13" t="inlineStr">
        <is>
          <t>验收清单</t>
        </is>
      </c>
      <c r="F13" s="13" t="inlineStr">
        <is>
          <t>顾问/审核</t>
        </is>
      </c>
    </row>
    <row r="14">
      <c r="C14" s="29" t="inlineStr">
        <is>
          <t>交付小计</t>
        </is>
      </c>
      <c r="D14" s="30">
        <f>SUM(D4:D13)</f>
        <v/>
      </c>
    </row>
    <row r="15">
      <c r="C15" s="31" t="inlineStr">
        <is>
          <t>项目管理（8%）</t>
        </is>
      </c>
      <c r="D15" s="32">
        <f>ROUND(D14*0.08,1)</f>
        <v/>
      </c>
    </row>
    <row r="16">
      <c r="C16" s="33" t="inlineStr">
        <is>
          <t>合计人天</t>
        </is>
      </c>
      <c r="D16" s="34">
        <f>D14+D15</f>
        <v/>
      </c>
    </row>
    <row r="18" ht="34" customHeight="1">
      <c r="A18" s="35" t="inlineStr">
        <is>
          <t>注：人天为方案估算，用于核对报价口径；实际投入按周报记录。W1–W4 为四个自然周，业务骨干投入另计（每周 ≤4 小时，不折算为本报价人天）。</t>
        </is>
      </c>
    </row>
  </sheetData>
  <mergeCells count="2">
    <mergeCell ref="A1:F1"/>
    <mergeCell ref="A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44" customWidth="1" min="3" max="3"/>
    <col width="34" customWidth="1" min="4" max="4"/>
  </cols>
  <sheetData>
    <row r="1" ht="28" customHeight="1">
      <c r="A1" s="36" t="inlineStr">
        <is>
          <t>报价前提、排除项与风险</t>
        </is>
      </c>
    </row>
    <row r="3">
      <c r="A3" s="6" t="inlineStr">
        <is>
          <t>序号</t>
        </is>
      </c>
      <c r="B3" s="6" t="inlineStr">
        <is>
          <t>前提 / 风险</t>
        </is>
      </c>
      <c r="C3" s="6" t="inlineStr">
        <is>
          <t>说明</t>
        </is>
      </c>
      <c r="D3" s="6" t="inlineStr">
        <is>
          <t>对报价或工期的影响</t>
        </is>
      </c>
    </row>
    <row r="4" ht="30" customHeight="1">
      <c r="A4" s="7" t="n">
        <v>1</v>
      </c>
      <c r="B4" s="8" t="inlineStr">
        <is>
          <t>前提｜委托方提供脱敏只读导出</t>
        </is>
      </c>
      <c r="C4" s="9" t="inlineStr">
        <is>
          <t>四个 CSV + manifest；不含生产库直连</t>
        </is>
      </c>
      <c r="D4" s="9" t="inlineStr">
        <is>
          <t>未提供则 W1 顺延，不计违约</t>
        </is>
      </c>
    </row>
    <row r="5" ht="30" customHeight="1">
      <c r="A5" s="11" t="n">
        <v>2</v>
      </c>
      <c r="B5" s="12" t="inlineStr">
        <is>
          <t>前提｜指定 2 名业务骨干</t>
        </is>
      </c>
      <c r="C5" s="13" t="inlineStr">
        <is>
          <t>每周 ≤4 小时，参与规则校准与抽查</t>
        </is>
      </c>
      <c r="D5" s="13" t="inlineStr">
        <is>
          <t>投入不足将延长试点周期</t>
        </is>
      </c>
    </row>
    <row r="6" ht="30" customHeight="1">
      <c r="A6" s="7" t="n">
        <v>3</v>
      </c>
      <c r="B6" s="8" t="inlineStr">
        <is>
          <t>前提｜单批次、单展会</t>
        </is>
      </c>
      <c r="C6" s="9" t="inlineStr">
        <is>
          <t>2026-S1；跨批次需重新评估字段与规则</t>
        </is>
      </c>
      <c r="D6" s="9" t="inlineStr">
        <is>
          <t>范围扩大按变更单计</t>
        </is>
      </c>
    </row>
    <row r="7" ht="30" customHeight="1">
      <c r="A7" s="37" t="n">
        <v>4</v>
      </c>
      <c r="B7" s="38" t="inlineStr">
        <is>
          <t>排除｜写回源系统 / 自动外发</t>
        </is>
      </c>
      <c r="C7" s="39" t="inlineStr">
        <is>
          <t>v1 不提供任何写接口与外发通道</t>
        </is>
      </c>
      <c r="D7" s="39" t="inlineStr">
        <is>
          <t>如需，另立项目并做安全评估</t>
        </is>
      </c>
    </row>
    <row r="8" ht="30" customHeight="1">
      <c r="A8" s="37" t="n">
        <v>5</v>
      </c>
      <c r="B8" s="38" t="inlineStr">
        <is>
          <t>排除｜模型接入与调优</t>
        </is>
      </c>
      <c r="C8" s="39" t="inlineStr">
        <is>
          <t>v1 默认不依赖外部模型</t>
        </is>
      </c>
      <c r="D8" s="39" t="inlineStr">
        <is>
          <t>接入按 3–5 人天另计</t>
        </is>
      </c>
    </row>
    <row r="9" ht="30" customHeight="1">
      <c r="A9" s="37" t="n">
        <v>6</v>
      </c>
      <c r="B9" s="38" t="inlineStr">
        <is>
          <t>排除｜历史数据清洗</t>
        </is>
      </c>
      <c r="C9" s="39" t="inlineStr">
        <is>
          <t>仅处理本次导出范围</t>
        </is>
      </c>
      <c r="D9" s="39" t="inlineStr">
        <is>
          <t>全量清洗按数据量另计</t>
        </is>
      </c>
    </row>
    <row r="10" ht="30" customHeight="1">
      <c r="A10" s="40" t="n">
        <v>7</v>
      </c>
      <c r="B10" s="41" t="inlineStr">
        <is>
          <t>风险｜版本链在源数据中不完整</t>
        </is>
      </c>
      <c r="C10" s="42" t="inlineStr">
        <is>
          <t>可能出现链断，需人工补齐</t>
        </is>
      </c>
      <c r="D10" s="42" t="inlineStr">
        <is>
          <t>增加 W2 复核工作量</t>
        </is>
      </c>
    </row>
    <row r="11" ht="30" customHeight="1">
      <c r="A11" s="40" t="n">
        <v>8</v>
      </c>
      <c r="B11" s="41" t="inlineStr">
        <is>
          <t>风险｜台账工时口径不一致</t>
        </is>
      </c>
      <c r="C11" s="42" t="inlineStr">
        <is>
          <t>分钟/小时混用，需单位归一</t>
        </is>
      </c>
      <c r="D11" s="42" t="inlineStr">
        <is>
          <t>已在工具内处理，但基线可能偏差</t>
        </is>
      </c>
    </row>
    <row r="12" ht="30" customHeight="1">
      <c r="A12" s="40" t="n">
        <v>9</v>
      </c>
      <c r="B12" s="41" t="inlineStr">
        <is>
          <t>风险｜确认人时间不可保证</t>
        </is>
      </c>
      <c r="C12" s="42" t="inlineStr">
        <is>
          <t>审核方每周需 1.5 小时</t>
        </is>
      </c>
      <c r="D12" s="42" t="inlineStr">
        <is>
          <t>确认延迟会影响验收</t>
        </is>
      </c>
    </row>
    <row r="13" ht="30" customHeight="1">
      <c r="A13" s="40" t="n">
        <v>10</v>
      </c>
      <c r="B13" s="41" t="inlineStr">
        <is>
          <t>风险｜组织对“只读”接受度</t>
        </is>
      </c>
      <c r="C13" s="42" t="inlineStr">
        <is>
          <t>部分团队希望直接改系统</t>
        </is>
      </c>
      <c r="D13" s="42" t="inlineStr">
        <is>
          <t>需业务负责人明确边界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数字化服务组</dc:creator>
  <dc:title xmlns:dc="http://purl.org/dc/elements/1.1/">展商咨询工单版本追溯试点 · 报价单</dc:title>
  <dc:description xmlns:dc="http://purl.org/dc/elements/1.1/">合成样本报价，金额与主体均为演示用途</dc:description>
  <dc:subject xmlns:dc="http://purl.org/dc/elements/1.1/">v1 设计方案 · 04 报价单</dc:subject>
  <dcterms:created xmlns:dcterms="http://purl.org/dc/terms/" xmlns:xsi="http://www.w3.org/2001/XMLSchema-instance" xsi:type="dcterms:W3CDTF">2026-10-23T03:12:59Z</dcterms:created>
  <dcterms:modified xmlns:dcterms="http://purl.org/dc/terms/" xmlns:xsi="http://www.w3.org/2001/XMLSchema-instance" xsi:type="dcterms:W3CDTF">2026-10-23T03:12:59Z</dcterms:modified>
</cp:coreProperties>
</file>